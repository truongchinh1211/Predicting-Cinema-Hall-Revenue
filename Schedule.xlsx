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ReactProjects\Predicting-Cinema-Hall-Revenue\"/>
    </mc:Choice>
  </mc:AlternateContent>
  <bookViews>
    <workbookView xWindow="-105" yWindow="-105" windowWidth="23250" windowHeight="12570"/>
  </bookViews>
  <sheets>
    <sheet name="Project Management WBS" sheetId="1" r:id="rId1"/>
    <sheet name="©" sheetId="2" r:id="rId2"/>
  </sheets>
  <definedNames>
    <definedName name="Category">#REF!</definedName>
    <definedName name="Transaction">#REF!</definedName>
  </definedNames>
  <calcPr calcId="162913"/>
</workbook>
</file>

<file path=xl/calcChain.xml><?xml version="1.0" encoding="utf-8"?>
<calcChain xmlns="http://schemas.openxmlformats.org/spreadsheetml/2006/main">
  <c r="G7" i="1" l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</calcChain>
</file>

<file path=xl/sharedStrings.xml><?xml version="1.0" encoding="utf-8"?>
<sst xmlns="http://schemas.openxmlformats.org/spreadsheetml/2006/main" count="37" uniqueCount="37">
  <si>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</si>
  <si>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</si>
  <si>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</si>
  <si>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</si>
  <si>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</si>
  <si>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</si>
  <si>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</si>
  <si>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</si>
  <si>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</si>
  <si>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</si>
  <si>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</si>
  <si>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</si>
  <si>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</si>
  <si>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</si>
  <si>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</si>
  <si>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</si>
  <si>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PROJECT MANAGEMENT</t>
  </si>
  <si>
    <t>Work Breakdown Structure</t>
  </si>
  <si>
    <t>© TemplateLab.com</t>
  </si>
  <si>
    <t>Thu thập dữ liệu, khảo sát</t>
  </si>
  <si>
    <t>Tìm hiểu tỏng quát về dataset, lập từ điển dữ liệu</t>
  </si>
  <si>
    <t>Nghiên cứu về code</t>
  </si>
  <si>
    <t>Tiền xử lý dữ liệu</t>
  </si>
  <si>
    <t>Phân tích dữ liệu khám phá (EDA)</t>
  </si>
  <si>
    <t>Tổ chức cấu trúc dự án.</t>
  </si>
  <si>
    <t>Tìm, nghiên cứu các bài báo, xác định các vấn đề tiềm ẩn</t>
  </si>
  <si>
    <t>Trực quan hóa và kiểm tra, phân tích tương quan</t>
  </si>
  <si>
    <t>Phân tích dữ liệu</t>
  </si>
  <si>
    <t>Xây dựng mô hình máy học</t>
  </si>
  <si>
    <t>Chia dữ liệu thành tập huấn luyện và kiểm tra</t>
  </si>
  <si>
    <t xml:space="preserve">Huấn luyện mô hình và tinh chỉnh tham số </t>
  </si>
  <si>
    <t>Chọn các mô hình cơ bản ()</t>
  </si>
  <si>
    <t>Đưa ra kết quả huấn luyện (Thử nghiệm trên mô hình nâng cao nếu có thể)</t>
  </si>
  <si>
    <t>Báo cáo và thuyết trình</t>
  </si>
  <si>
    <t>Tổng kết thành bài báo cáo hoàn chỉnh</t>
  </si>
  <si>
    <t>Chuẩn bị slide thuyết trình</t>
  </si>
  <si>
    <t>Quay video thuyết trình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</si>
</sst>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0"/>
      <color rgb="FF000000"/>
      <name val="Bahnschrift"/>
      <family val="2"/>
    </font>
    <font>
      <b/>
      <sz val="10"/>
      <color theme="1"/>
      <name val="Bahnschrift"/>
      <family val="2"/>
    </font>
    <font>
      <sz val="10"/>
      <name val="Bahnschrift"/>
      <family val="2"/>
    </font>
    <font>
      <sz val="10"/>
      <color theme="1"/>
      <name val="Bahnschrift"/>
      <family val="2"/>
    </font>
    <font>
      <i/>
      <sz val="10"/>
      <name val="Bahnschrift"/>
      <family val="2"/>
    </font>
    <font>
      <sz val="8"/>
      <name val="Calibri"/>
      <family val="2"/>
      <scheme val="minor"/>
    </font>
    <font>
      <sz val="11"/>
      <color theme="0"/>
      <name val="Bahnschrift"/>
      <family val="2"/>
    </font>
    <font>
      <b/>
      <sz val="10"/>
      <color theme="0"/>
      <name val="Bahnschrift"/>
      <family val="2"/>
    </font>
    <font>
      <sz val="28"/>
      <color theme="0"/>
      <name val="Bahnschrift Light"/>
      <family val="2"/>
    </font>
    <font>
      <sz val="36"/>
      <color rgb="FF00B0F0"/>
      <name val="Bahnschrift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3F4F"/>
        <bgColor indexed="64"/>
      </patternFill>
    </fill>
  </fills>
  <borders count="5"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textRotation="90"/>
    </xf>
    <xf numFmtId="164" fontId="2" fillId="3" borderId="1" xfId="0" applyNumberFormat="1" applyFont="1" applyFill="1" applyBorder="1" applyAlignment="1">
      <alignment horizontal="center" vertical="center" textRotation="90"/>
    </xf>
    <xf numFmtId="0" fontId="4" fillId="2" borderId="0" xfId="0" applyFont="1" applyFill="1" applyAlignment="1">
      <alignment horizontal="center" vertical="center"/>
    </xf>
    <xf numFmtId="14" fontId="8" fillId="4" borderId="1" xfId="0" applyNumberFormat="1" applyFont="1" applyFill="1" applyBorder="1" applyAlignment="1">
      <alignment horizontal="center" vertical="center" textRotation="90"/>
    </xf>
    <xf numFmtId="0" fontId="6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center" vertical="center"/>
    </xf>
    <xf numFmtId="0" fontId="9" fillId="4" borderId="2" xfId="0" applyFont="1" applyFill="1" applyBorder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14" fontId="3" fillId="6" borderId="4" xfId="0" applyNumberFormat="1" applyFont="1" applyFill="1" applyBorder="1" applyAlignment="1">
      <alignment horizontal="center" vertical="center"/>
    </xf>
    <xf numFmtId="14" fontId="5" fillId="6" borderId="4" xfId="0" applyNumberFormat="1" applyFont="1" applyFill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1" fillId="4" borderId="0" xfId="0" applyFont="1" applyFill="1"/>
    <xf numFmtId="14" fontId="8" fillId="7" borderId="1" xfId="0" applyNumberFormat="1" applyFont="1" applyFill="1" applyBorder="1" applyAlignment="1">
      <alignment horizontal="center" vertical="center" textRotation="90"/>
    </xf>
    <xf numFmtId="0" fontId="1" fillId="7" borderId="0" xfId="0" applyFont="1" applyFill="1"/>
    <xf numFmtId="0" fontId="8" fillId="7" borderId="0" xfId="0" applyFont="1" applyFill="1"/>
    <xf numFmtId="0" fontId="10" fillId="7" borderId="0" xfId="0" applyFont="1" applyFill="1" applyAlignment="1">
      <alignment horizontal="left" vertical="center"/>
    </xf>
    <xf numFmtId="0" fontId="8" fillId="3" borderId="0" xfId="0" applyFont="1" applyFill="1"/>
    <xf numFmtId="0" fontId="10" fillId="3" borderId="0" xfId="0" applyFont="1" applyFill="1" applyAlignment="1">
      <alignment horizontal="left" vertical="center"/>
    </xf>
    <xf numFmtId="0" fontId="1" fillId="3" borderId="0" xfId="0" applyFont="1" applyFill="1"/>
    <xf numFmtId="0" fontId="12" fillId="0" borderId="0" xfId="1"/>
    <xf numFmtId="0" fontId="4" fillId="3" borderId="3" xfId="0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/>
    </xf>
    <xf numFmtId="0" fontId="11" fillId="7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8" fillId="7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2">
    <dxf>
      <font>
        <color theme="0"/>
      </font>
      <fill>
        <patternFill patternType="solid">
          <fgColor theme="3" tint="-0.24994659260841701"/>
          <bgColor rgb="FF00B0F0"/>
        </patternFill>
      </fill>
    </dxf>
    <dxf>
      <font>
        <color theme="0"/>
      </font>
      <fill>
        <patternFill patternType="solid">
          <fgColor theme="3" tint="-0.24994659260841701"/>
          <bgColor rgb="FF00B0F0"/>
        </patternFill>
      </fill>
    </dxf>
    <dxf>
      <font>
        <color theme="0"/>
      </font>
      <fill>
        <patternFill patternType="solid">
          <fgColor theme="3" tint="-0.24994659260841701"/>
          <bgColor theme="2" tint="-0.749961851863155"/>
        </patternFill>
      </fill>
    </dxf>
    <dxf>
      <font>
        <color theme="0"/>
      </font>
      <fill>
        <patternFill patternType="solid">
          <fgColor theme="3" tint="-0.24994659260841701"/>
          <bgColor rgb="FF00B0F0"/>
        </patternFill>
      </fill>
    </dxf>
    <dxf>
      <font>
        <color theme="0"/>
      </font>
      <fill>
        <patternFill patternType="solid">
          <fgColor theme="3" tint="-0.24994659260841701"/>
          <bgColor rgb="FF00B0F0"/>
        </patternFill>
      </fill>
    </dxf>
    <dxf>
      <font>
        <color theme="0"/>
      </font>
      <fill>
        <patternFill patternType="solid">
          <fgColor theme="3" tint="-0.24994659260841701"/>
          <bgColor rgb="FF00B0F0"/>
        </patternFill>
      </fill>
    </dxf>
    <dxf>
      <font>
        <color theme="0"/>
      </font>
      <fill>
        <patternFill patternType="solid">
          <fgColor theme="3" tint="-0.24994659260841701"/>
          <bgColor theme="2" tint="-0.749961851863155"/>
        </patternFill>
      </fill>
    </dxf>
    <dxf>
      <font>
        <color theme="0"/>
      </font>
      <fill>
        <patternFill patternType="solid">
          <fgColor theme="3" tint="-0.24994659260841701"/>
          <bgColor rgb="FF00B0F0"/>
        </patternFill>
      </fill>
    </dxf>
    <dxf>
      <font>
        <color theme="0"/>
      </font>
      <fill>
        <patternFill patternType="solid">
          <fgColor theme="3" tint="-0.24994659260841701"/>
          <bgColor rgb="FF00B0F0"/>
        </patternFill>
      </fill>
    </dxf>
    <dxf>
      <font>
        <color theme="0"/>
      </font>
      <fill>
        <patternFill patternType="solid">
          <fgColor theme="3" tint="-0.24994659260841701"/>
          <bgColor rgb="FF00B0F0"/>
        </patternFill>
      </fill>
    </dxf>
    <dxf>
      <font>
        <color theme="0"/>
      </font>
      <fill>
        <patternFill patternType="solid">
          <fgColor theme="3" tint="-0.24994659260841701"/>
          <bgColor theme="2" tint="-0.749961851863155"/>
        </patternFill>
      </fill>
    </dxf>
    <dxf>
      <fill>
        <patternFill patternType="solid">
          <fgColor rgb="FF76A5AF"/>
          <bgColor rgb="FF76A5AF"/>
        </patternFill>
      </fill>
    </dxf>
  </dxfs>
  <tableStyles count="0" defaultTableStyle="TableStyleMedium2" defaultPivotStyle="PivotStyleLight16"/>
  <colors>
    <mruColors>
      <color rgb="FF00B0F0"/>
      <color rgb="FF333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242046</xdr:colOff>
      <xdr:row>6</xdr:row>
      <xdr:rowOff>304800</xdr:rowOff>
    </xdr:from>
    <xdr:to>
      <xdr:col>4</xdr:col>
      <xdr:colOff>575981</xdr:colOff>
      <xdr:row>7</xdr:row>
      <xdr:rowOff>255494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D9C3BCE8-A455-4652-A876-1244BED8B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3110752" y="1837765"/>
          <a:ext cx="1104900" cy="838200"/>
        </a:xfrm>
        <a:prstGeom prst="rect">
          <a:avLst/>
        </a:prstGeom>
      </xdr:spPr>
    </xdr:pic>
    <xdr:clientData/>
  </xdr:twoCellAnchor>
  <xdr:twoCellAnchor editAs="oneCell">
    <xdr:from>
      <xdr:col>1</xdr:col>
      <xdr:colOff>779584</xdr:colOff>
      <xdr:row>6</xdr:row>
      <xdr:rowOff>263769</xdr:rowOff>
    </xdr:from>
    <xdr:to>
      <xdr:col>1</xdr:col>
      <xdr:colOff>1436809</xdr:colOff>
      <xdr:row>7</xdr:row>
      <xdr:rowOff>293077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D251D351-7147-44B9-1C83-6CE35AA8B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1178169" y="1869831"/>
          <a:ext cx="657225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14287</xdr:rowOff>
    </xdr:from>
    <xdr:ext cx="2160027" cy="456248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C75435-5B16-41EE-9703-475E40E46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topLeftCell="A6" zoomScale="85" zoomScaleNormal="85" workbookViewId="0">
      <selection activeCell="K7" sqref="K7"/>
    </sheetView>
  </sheetViews>
  <sheetFormatPr defaultColWidth="8.85546875" defaultRowHeight="14.25" x14ac:dyDescent="0.2"/>
  <cols>
    <col min="1" max="1" width="5.7109375" style="2" customWidth="1"/>
    <col min="2" max="2" width="74.5703125" style="2" customWidth="1"/>
    <col min="3" max="3" width="2.28515625" style="2" customWidth="1"/>
    <col min="4" max="5" width="11.28515625" style="2" customWidth="1"/>
    <col min="6" max="6" width="2.28515625" style="2" customWidth="1"/>
    <col min="7" max="22" width="4.7109375" style="2" customWidth="1"/>
    <col min="23" max="23" width="5.7109375" style="2" customWidth="1"/>
    <col min="24" max="16384" width="8.85546875" style="2"/>
  </cols>
  <sheetData>
    <row r="1" spans="1:23" ht="13.15" customHeight="1" x14ac:dyDescent="0.2">
      <c r="A1" s="2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21"/>
    </row>
    <row r="2" spans="1:23" ht="39" customHeight="1" x14ac:dyDescent="0.2">
      <c r="A2" s="22"/>
      <c r="B2" s="31" t="s">
        <v>16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21"/>
    </row>
    <row r="3" spans="1:23" ht="43.15" customHeight="1" x14ac:dyDescent="0.2">
      <c r="A3" s="22"/>
      <c r="B3" s="32" t="s">
        <v>17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21"/>
    </row>
    <row r="4" spans="1:23" ht="9" customHeight="1" x14ac:dyDescent="0.2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1"/>
    </row>
    <row r="5" spans="1:23" ht="9" customHeight="1" x14ac:dyDescent="0.2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6"/>
    </row>
    <row r="6" spans="1:23" ht="18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69.599999999999994" customHeight="1" x14ac:dyDescent="0.2">
      <c r="A7" s="1"/>
      <c r="B7" s="30"/>
      <c r="C7" s="1"/>
      <c r="D7" s="30"/>
      <c r="E7" s="30"/>
      <c r="F7" s="1"/>
      <c r="G7" s="7">
        <f>D10</f>
        <v>45733</v>
      </c>
      <c r="H7" s="7">
        <f>G7+7</f>
        <v>45740</v>
      </c>
      <c r="I7" s="20">
        <f t="shared" ref="I7:V7" si="0">H7+7</f>
        <v>45747</v>
      </c>
      <c r="J7" s="7">
        <f t="shared" si="0"/>
        <v>45754</v>
      </c>
      <c r="K7" s="7">
        <f t="shared" si="0"/>
        <v>45761</v>
      </c>
      <c r="L7" s="7">
        <f t="shared" si="0"/>
        <v>45768</v>
      </c>
      <c r="M7" s="7">
        <f t="shared" si="0"/>
        <v>45775</v>
      </c>
      <c r="N7" s="7">
        <f t="shared" si="0"/>
        <v>45782</v>
      </c>
      <c r="O7" s="7">
        <f t="shared" si="0"/>
        <v>45789</v>
      </c>
      <c r="P7" s="7">
        <f t="shared" si="0"/>
        <v>45796</v>
      </c>
      <c r="Q7" s="7">
        <f t="shared" si="0"/>
        <v>45803</v>
      </c>
      <c r="R7" s="7">
        <f t="shared" si="0"/>
        <v>45810</v>
      </c>
      <c r="S7" s="7">
        <f t="shared" si="0"/>
        <v>45817</v>
      </c>
      <c r="T7" s="7">
        <f t="shared" si="0"/>
        <v>45824</v>
      </c>
      <c r="U7" s="7">
        <f t="shared" si="0"/>
        <v>45831</v>
      </c>
      <c r="V7" s="7">
        <f t="shared" si="0"/>
        <v>45838</v>
      </c>
      <c r="W7" s="1"/>
    </row>
    <row r="8" spans="1:23" ht="42.75" x14ac:dyDescent="0.2">
      <c r="A8" s="1"/>
      <c r="B8" s="30"/>
      <c r="C8" s="3"/>
      <c r="D8" s="30"/>
      <c r="E8" s="30"/>
      <c r="F8" s="3"/>
      <c r="G8" s="5" t="s">
        <v>0</v>
      </c>
      <c r="H8" s="5" t="s">
        <v>1</v>
      </c>
      <c r="I8" s="5" t="s">
        <v>2</v>
      </c>
      <c r="J8" s="5" t="s">
        <v>3</v>
      </c>
      <c r="K8" s="5" t="s">
        <v>4</v>
      </c>
      <c r="L8" s="5" t="s">
        <v>5</v>
      </c>
      <c r="M8" s="5" t="s">
        <v>6</v>
      </c>
      <c r="N8" s="5" t="s">
        <v>7</v>
      </c>
      <c r="O8" s="5" t="s">
        <v>8</v>
      </c>
      <c r="P8" s="5" t="s">
        <v>9</v>
      </c>
      <c r="Q8" s="5" t="s">
        <v>10</v>
      </c>
      <c r="R8" s="5" t="s">
        <v>11</v>
      </c>
      <c r="S8" s="5" t="s">
        <v>12</v>
      </c>
      <c r="T8" s="5" t="s">
        <v>13</v>
      </c>
      <c r="U8" s="5" t="s">
        <v>14</v>
      </c>
      <c r="V8" s="5" t="s">
        <v>15</v>
      </c>
      <c r="W8" s="1"/>
    </row>
    <row r="9" spans="1:23" ht="6" customHeight="1" thickBot="1" x14ac:dyDescent="0.25">
      <c r="A9" s="1"/>
      <c r="B9" s="3"/>
      <c r="C9" s="3"/>
      <c r="D9" s="3"/>
      <c r="E9" s="3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"/>
    </row>
    <row r="10" spans="1:23" ht="18" customHeight="1" thickBot="1" x14ac:dyDescent="0.25">
      <c r="A10" s="1"/>
      <c r="B10" s="10" t="s">
        <v>19</v>
      </c>
      <c r="C10" s="16"/>
      <c r="D10" s="12">
        <v>45733</v>
      </c>
      <c r="E10" s="12">
        <v>45738</v>
      </c>
      <c r="F10" s="14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"/>
    </row>
    <row r="11" spans="1:23" ht="18" customHeight="1" thickBot="1" x14ac:dyDescent="0.25">
      <c r="A11" s="1"/>
      <c r="B11" s="28" t="s">
        <v>25</v>
      </c>
      <c r="C11" s="17"/>
      <c r="D11" s="13">
        <v>45733</v>
      </c>
      <c r="E11" s="13">
        <v>45738</v>
      </c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"/>
    </row>
    <row r="12" spans="1:23" ht="18" customHeight="1" thickBot="1" x14ac:dyDescent="0.25">
      <c r="A12" s="1"/>
      <c r="B12" s="28" t="s">
        <v>20</v>
      </c>
      <c r="C12" s="17"/>
      <c r="D12" s="13">
        <v>45733</v>
      </c>
      <c r="E12" s="13">
        <v>45738</v>
      </c>
      <c r="F12" s="15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"/>
    </row>
    <row r="13" spans="1:23" ht="18" customHeight="1" thickBot="1" x14ac:dyDescent="0.25">
      <c r="A13" s="1"/>
      <c r="B13" s="29" t="s">
        <v>21</v>
      </c>
      <c r="C13" s="18"/>
      <c r="D13" s="13">
        <v>45733</v>
      </c>
      <c r="E13" s="13">
        <v>45738</v>
      </c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"/>
    </row>
    <row r="14" spans="1:23" ht="6" customHeight="1" thickBot="1" x14ac:dyDescent="0.25">
      <c r="A14" s="1"/>
      <c r="B14" s="8"/>
      <c r="C14" s="8"/>
      <c r="D14" s="9"/>
      <c r="E14" s="9"/>
      <c r="F14" s="9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1"/>
    </row>
    <row r="15" spans="1:23" ht="18" customHeight="1" thickBot="1" x14ac:dyDescent="0.25">
      <c r="A15" s="1"/>
      <c r="B15" s="10" t="s">
        <v>27</v>
      </c>
      <c r="C15" s="16"/>
      <c r="D15" s="12">
        <v>45740</v>
      </c>
      <c r="E15" s="12">
        <v>45745</v>
      </c>
      <c r="F15" s="14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"/>
    </row>
    <row r="16" spans="1:23" ht="18" customHeight="1" thickBot="1" x14ac:dyDescent="0.25">
      <c r="A16" s="1"/>
      <c r="B16" s="28" t="s">
        <v>24</v>
      </c>
      <c r="C16" s="17"/>
      <c r="D16" s="13">
        <v>45740</v>
      </c>
      <c r="E16" s="13">
        <v>45740</v>
      </c>
      <c r="F16" s="15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"/>
    </row>
    <row r="17" spans="1:23" ht="18" customHeight="1" thickBot="1" x14ac:dyDescent="0.25">
      <c r="A17" s="1"/>
      <c r="B17" s="28" t="s">
        <v>22</v>
      </c>
      <c r="C17" s="17"/>
      <c r="D17" s="13">
        <v>45740</v>
      </c>
      <c r="E17" s="13">
        <v>45745</v>
      </c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"/>
    </row>
    <row r="18" spans="1:23" ht="18" customHeight="1" thickBot="1" x14ac:dyDescent="0.25">
      <c r="A18" s="1"/>
      <c r="B18" s="28" t="s">
        <v>23</v>
      </c>
      <c r="C18" s="18"/>
      <c r="D18" s="13">
        <v>45740</v>
      </c>
      <c r="E18" s="13">
        <v>45745</v>
      </c>
      <c r="F18" s="15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"/>
    </row>
    <row r="19" spans="1:23" ht="18" customHeight="1" thickBot="1" x14ac:dyDescent="0.25">
      <c r="A19" s="1"/>
      <c r="B19" s="28" t="s">
        <v>26</v>
      </c>
      <c r="C19" s="18"/>
      <c r="D19" s="13">
        <v>45740</v>
      </c>
      <c r="E19" s="13">
        <v>45745</v>
      </c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"/>
    </row>
    <row r="20" spans="1:23" ht="6" customHeight="1" thickBot="1" x14ac:dyDescent="0.25">
      <c r="A20" s="1"/>
      <c r="B20" s="8"/>
      <c r="C20" s="8"/>
      <c r="D20" s="9"/>
      <c r="E20" s="9"/>
      <c r="F20" s="9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1"/>
    </row>
    <row r="21" spans="1:23" ht="18" customHeight="1" thickBot="1" x14ac:dyDescent="0.25">
      <c r="A21" s="1"/>
      <c r="B21" s="10" t="s">
        <v>28</v>
      </c>
      <c r="C21" s="16"/>
      <c r="D21" s="13">
        <v>45747</v>
      </c>
      <c r="E21" s="13">
        <v>45752</v>
      </c>
      <c r="F21" s="14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"/>
    </row>
    <row r="22" spans="1:23" ht="18" customHeight="1" thickBot="1" x14ac:dyDescent="0.25">
      <c r="A22" s="1"/>
      <c r="B22" s="28" t="s">
        <v>31</v>
      </c>
      <c r="C22" s="17"/>
      <c r="D22" s="13">
        <v>45747</v>
      </c>
      <c r="E22" s="13">
        <v>45752</v>
      </c>
      <c r="F22" s="15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"/>
    </row>
    <row r="23" spans="1:23" ht="18" customHeight="1" thickBot="1" x14ac:dyDescent="0.25">
      <c r="A23" s="1"/>
      <c r="B23" s="28" t="s">
        <v>29</v>
      </c>
      <c r="C23" s="17"/>
      <c r="D23" s="13">
        <v>45747</v>
      </c>
      <c r="E23" s="13">
        <v>45752</v>
      </c>
      <c r="F23" s="15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"/>
    </row>
    <row r="24" spans="1:23" ht="18" customHeight="1" thickBot="1" x14ac:dyDescent="0.25">
      <c r="A24" s="1"/>
      <c r="B24" s="28" t="s">
        <v>30</v>
      </c>
      <c r="C24" s="17"/>
      <c r="D24" s="13">
        <v>45747</v>
      </c>
      <c r="E24" s="13">
        <v>45752</v>
      </c>
      <c r="F24" s="15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"/>
    </row>
    <row r="25" spans="1:23" ht="18" customHeight="1" thickBot="1" x14ac:dyDescent="0.25">
      <c r="A25" s="1"/>
      <c r="B25" s="28" t="s">
        <v>32</v>
      </c>
      <c r="C25" s="17"/>
      <c r="D25" s="13">
        <v>45747</v>
      </c>
      <c r="E25" s="13">
        <v>45752</v>
      </c>
      <c r="F25" s="15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"/>
    </row>
    <row r="26" spans="1:23" ht="6" customHeight="1" thickBot="1" x14ac:dyDescent="0.25">
      <c r="A26" s="1"/>
      <c r="B26" s="8"/>
      <c r="C26" s="8"/>
      <c r="D26" s="9"/>
      <c r="E26" s="9"/>
      <c r="F26" s="9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1"/>
    </row>
    <row r="27" spans="1:23" ht="18" customHeight="1" thickBot="1" x14ac:dyDescent="0.25">
      <c r="A27" s="1"/>
      <c r="B27" s="10" t="s">
        <v>33</v>
      </c>
      <c r="C27" s="16"/>
      <c r="D27" s="13">
        <v>45754</v>
      </c>
      <c r="E27" s="13">
        <v>45758</v>
      </c>
      <c r="F27" s="14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"/>
    </row>
    <row r="28" spans="1:23" ht="18" customHeight="1" thickBot="1" x14ac:dyDescent="0.25">
      <c r="A28" s="1"/>
      <c r="B28" s="28" t="s">
        <v>34</v>
      </c>
      <c r="C28" s="17"/>
      <c r="D28" s="13">
        <v>45754</v>
      </c>
      <c r="E28" s="13">
        <v>45758</v>
      </c>
      <c r="F28" s="15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"/>
    </row>
    <row r="29" spans="1:23" ht="18" customHeight="1" thickBot="1" x14ac:dyDescent="0.25">
      <c r="A29" s="1"/>
      <c r="B29" s="28" t="s">
        <v>35</v>
      </c>
      <c r="C29" s="17"/>
      <c r="D29" s="13">
        <v>45754</v>
      </c>
      <c r="E29" s="13">
        <v>45758</v>
      </c>
      <c r="F29" s="15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"/>
    </row>
    <row r="30" spans="1:23" ht="18" customHeight="1" thickBot="1" x14ac:dyDescent="0.25">
      <c r="A30" s="1"/>
      <c r="B30" s="29" t="s">
        <v>36</v>
      </c>
      <c r="C30" s="18"/>
      <c r="D30" s="13">
        <v>45754</v>
      </c>
      <c r="E30" s="13">
        <v>45758</v>
      </c>
      <c r="F30" s="15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"/>
    </row>
    <row r="31" spans="1:23" ht="19.149999999999999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2" customHeight="1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</sheetData>
  <mergeCells count="5">
    <mergeCell ref="D7:E8"/>
    <mergeCell ref="B7:B8"/>
    <mergeCell ref="B2:V2"/>
    <mergeCell ref="B3:V3"/>
    <mergeCell ref="B1:V1"/>
  </mergeCells>
  <phoneticPr fontId="7" type="noConversion"/>
  <conditionalFormatting sqref="G10:V30">
    <cfRule type="notContainsBlanks" dxfId="11" priority="17">
      <formula>LEN(TRIM(G10))&gt;0</formula>
    </cfRule>
  </conditionalFormatting>
  <conditionalFormatting sqref="G10:V10 G27:V27">
    <cfRule type="expression" dxfId="10" priority="16">
      <formula>AND($D10&lt;=G$7+6,$E10&gt;=G$7)</formula>
    </cfRule>
  </conditionalFormatting>
  <conditionalFormatting sqref="G11:V11 G28:V30">
    <cfRule type="expression" dxfId="9" priority="15">
      <formula>AND($D11&lt;=G$7+6,$E11&gt;=G$7)</formula>
    </cfRule>
  </conditionalFormatting>
  <conditionalFormatting sqref="G12:V12">
    <cfRule type="expression" dxfId="8" priority="14">
      <formula>AND($D12&lt;=G$7+6,$E12&gt;=G$7)</formula>
    </cfRule>
  </conditionalFormatting>
  <conditionalFormatting sqref="G13:V13">
    <cfRule type="expression" dxfId="7" priority="13">
      <formula>AND($D13&lt;=G$7+6,$E13&gt;=G$7)</formula>
    </cfRule>
  </conditionalFormatting>
  <conditionalFormatting sqref="G15:V15">
    <cfRule type="expression" dxfId="6" priority="12">
      <formula>AND($D15&lt;=G$7+6,$E15&gt;=G$7)</formula>
    </cfRule>
  </conditionalFormatting>
  <conditionalFormatting sqref="G16:V16">
    <cfRule type="expression" dxfId="5" priority="11">
      <formula>AND($D16&lt;=G$7+6,$E16&gt;=G$7)</formula>
    </cfRule>
  </conditionalFormatting>
  <conditionalFormatting sqref="G17:V18">
    <cfRule type="expression" dxfId="4" priority="10">
      <formula>AND($D17&lt;=G$7+6,$E17&gt;=G$7)</formula>
    </cfRule>
  </conditionalFormatting>
  <conditionalFormatting sqref="G19:V19">
    <cfRule type="expression" dxfId="3" priority="9">
      <formula>AND($D19&lt;=G$7+6,$E19&gt;=G$7)</formula>
    </cfRule>
  </conditionalFormatting>
  <conditionalFormatting sqref="G21:V21">
    <cfRule type="expression" dxfId="2" priority="8">
      <formula>AND($D21&lt;=G$7+6,$E21&gt;=G$7)</formula>
    </cfRule>
  </conditionalFormatting>
  <conditionalFormatting sqref="G22:V24">
    <cfRule type="expression" dxfId="1" priority="7">
      <formula>AND($D22&lt;=G$7+6,$E22&gt;=G$7)</formula>
    </cfRule>
  </conditionalFormatting>
  <conditionalFormatting sqref="G25:V25">
    <cfRule type="expression" dxfId="0" priority="6">
      <formula>AND($D25&lt;=G$7+6,$E25&gt;=G$7)</formula>
    </cfRule>
  </conditionalFormatting>
  <dataValidations count="1">
    <dataValidation type="custom" allowBlank="1" showDropDown="1" sqref="D10:F30">
      <formula1>OR(NOT(ISERROR(DATEVALUE(D10))), AND(ISNUMBER(D10), LEFT(CELL("format", D10))="D"))</formula1>
    </dataValidation>
  </dataValidations>
  <pageMargins left="0" right="0" top="0" bottom="0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"/>
  <sheetViews>
    <sheetView workbookViewId="0">
      <selection activeCell="B30" sqref="B30"/>
    </sheetView>
  </sheetViews>
  <sheetFormatPr defaultRowHeight="15" x14ac:dyDescent="0.25"/>
  <cols>
    <col min="2" max="2" width="31.85546875" customWidth="1"/>
  </cols>
  <sheetData>
    <row r="6" spans="2:2" x14ac:dyDescent="0.25">
      <c r="B6" s="27" t="s">
        <v>18</v>
      </c>
    </row>
  </sheetData>
  <hyperlinks>
    <hyperlink ref="B6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Management WBS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Windows User</cp:lastModifiedBy>
  <cp:lastPrinted>2023-06-06T09:38:13Z</cp:lastPrinted>
  <dcterms:created xsi:type="dcterms:W3CDTF">2023-06-05T11:01:50Z</dcterms:created>
  <dcterms:modified xsi:type="dcterms:W3CDTF">2025-03-13T03:08:16Z</dcterms:modified>
</cp:coreProperties>
</file>